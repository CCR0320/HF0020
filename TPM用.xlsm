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VBA\"/>
    </mc:Choice>
  </mc:AlternateContent>
  <xr:revisionPtr revIDLastSave="0" documentId="13_ncr:1000001_{66B61B9B-482D-FB49-93FF-02097C4D632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2" r:id="rId1"/>
    <sheet name="data" sheetId="1" r:id="rId2"/>
  </sheets>
  <externalReferences>
    <externalReference r:id="rId3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2" l="1"/>
  <c r="F15" i="2"/>
  <c r="I7" i="1"/>
  <c r="H7" i="1"/>
  <c r="I6" i="1"/>
  <c r="H6" i="1"/>
  <c r="I5" i="1"/>
  <c r="H5" i="1"/>
  <c r="I4" i="1"/>
  <c r="H4" i="1"/>
  <c r="I3" i="1"/>
  <c r="H3" i="1"/>
  <c r="C13" i="1"/>
  <c r="H11" i="2"/>
  <c r="C14" i="1"/>
  <c r="H12" i="2"/>
  <c r="C12" i="1"/>
  <c r="H10" i="2"/>
  <c r="G11" i="2"/>
  <c r="G12" i="2"/>
  <c r="G10" i="2"/>
  <c r="A9" i="1"/>
  <c r="B9" i="1"/>
  <c r="H4" i="2"/>
  <c r="A8" i="1"/>
  <c r="C8" i="1"/>
  <c r="G3" i="2"/>
  <c r="A6" i="1"/>
  <c r="C7" i="2"/>
  <c r="B6" i="1"/>
  <c r="D7" i="2"/>
  <c r="C4" i="2"/>
  <c r="C5" i="2"/>
  <c r="C3" i="2"/>
  <c r="C9" i="1"/>
  <c r="G4" i="2"/>
  <c r="A2" i="1"/>
  <c r="A3" i="1"/>
  <c r="C2" i="1"/>
  <c r="D3" i="2"/>
  <c r="J6" i="1"/>
  <c r="J3" i="1"/>
  <c r="J5" i="1"/>
  <c r="J7" i="1"/>
  <c r="J4" i="1"/>
  <c r="B8" i="1"/>
  <c r="H3" i="2"/>
  <c r="C4" i="1"/>
  <c r="D5" i="2"/>
  <c r="C3" i="1"/>
  <c r="D4" i="2"/>
  <c r="A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owner</author>
  </authors>
  <commentList>
    <comment ref="H2" authorId="0" shapeId="0" xr:uid="{E97D3BDD-2DF5-42D9-B446-5E3298517FCA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当日1直を抽出している為、常勤対応していただく際は、別途周知します。
</t>
        </r>
      </text>
    </comment>
    <comment ref="H15" authorId="0" shapeId="0" xr:uid="{7BF93FD2-8345-46D7-9129-6BAF49F85F22}">
      <text>
        <r>
          <rPr>
            <b/>
            <sz val="9"/>
            <color indexed="81"/>
            <rFont val="MS P ゴシック"/>
            <family val="3"/>
            <charset val="128"/>
          </rPr>
          <t>完了したらチェック入れる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owner</author>
  </authors>
  <commentList>
    <comment ref="D1" authorId="0" shapeId="0" xr:uid="{042506E5-3B83-4FF5-B40A-7294F014133B}">
      <text>
        <r>
          <rPr>
            <b/>
            <sz val="9"/>
            <color indexed="81"/>
            <rFont val="MS P ゴシック"/>
            <family val="3"/>
            <charset val="128"/>
          </rPr>
          <t>総合効率チェックボックスのリンクセル</t>
        </r>
      </text>
    </comment>
    <comment ref="A3" authorId="0" shapeId="0" xr:uid="{B44CA927-0FAE-4177-947A-37816B890831}">
      <text>
        <r>
          <rPr>
            <b/>
            <sz val="9"/>
            <color indexed="81"/>
            <rFont val="MS P ゴシック"/>
            <family val="3"/>
            <charset val="128"/>
          </rPr>
          <t>夜勤サイクル調整</t>
        </r>
      </text>
    </comment>
    <comment ref="A8" authorId="0" shapeId="0" xr:uid="{6E5F9BE7-2C96-432A-B3AB-B1CEB4AFB243}">
      <text>
        <r>
          <rPr>
            <b/>
            <sz val="9"/>
            <color indexed="81"/>
            <rFont val="MS P ゴシック"/>
            <family val="3"/>
            <charset val="128"/>
          </rPr>
          <t>メイン画面の診断日とリンクさせる1</t>
        </r>
      </text>
    </comment>
    <comment ref="A9" authorId="0" shapeId="0" xr:uid="{BD2E22E7-7EBF-488C-92ED-F19905E549D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メイン画面の診断日とリンクさせる2
</t>
        </r>
      </text>
    </comment>
  </commentList>
</comments>
</file>

<file path=xl/sharedStrings.xml><?xml version="1.0" encoding="utf-8"?>
<sst xmlns="http://schemas.openxmlformats.org/spreadsheetml/2006/main" count="42" uniqueCount="38">
  <si>
    <t>1班</t>
    <rPh sb="1" eb="2">
      <t>ハン</t>
    </rPh>
    <phoneticPr fontId="1"/>
  </si>
  <si>
    <t>2班</t>
    <rPh sb="1" eb="2">
      <t>ハン</t>
    </rPh>
    <phoneticPr fontId="1"/>
  </si>
  <si>
    <t>3班</t>
    <rPh sb="1" eb="2">
      <t>ハン</t>
    </rPh>
    <phoneticPr fontId="1"/>
  </si>
  <si>
    <t>勤務抽出</t>
    <rPh sb="0" eb="2">
      <t>キンム</t>
    </rPh>
    <rPh sb="2" eb="4">
      <t>チュウシュツ</t>
    </rPh>
    <phoneticPr fontId="1"/>
  </si>
  <si>
    <t>部門改善担当</t>
    <rPh sb="0" eb="4">
      <t>ブモンカイゼン</t>
    </rPh>
    <rPh sb="4" eb="6">
      <t>タントウ</t>
    </rPh>
    <phoneticPr fontId="1"/>
  </si>
  <si>
    <t>指導会担当班</t>
    <rPh sb="0" eb="3">
      <t>シドウカイ</t>
    </rPh>
    <rPh sb="3" eb="6">
      <t>タントウハン</t>
    </rPh>
    <phoneticPr fontId="1"/>
  </si>
  <si>
    <t>残日数</t>
    <rPh sb="0" eb="3">
      <t>ザンニッスウ</t>
    </rPh>
    <phoneticPr fontId="1"/>
  </si>
  <si>
    <t>最新パワポ</t>
    <rPh sb="0" eb="2">
      <t>サイシン</t>
    </rPh>
    <phoneticPr fontId="1"/>
  </si>
  <si>
    <t>最新原稿</t>
    <rPh sb="0" eb="2">
      <t>サイシン</t>
    </rPh>
    <rPh sb="2" eb="4">
      <t>ゲンコウ</t>
    </rPh>
    <phoneticPr fontId="1"/>
  </si>
  <si>
    <t>引き継ぎ</t>
    <rPh sb="0" eb="1">
      <t>ヒ</t>
    </rPh>
    <rPh sb="2" eb="3">
      <t>ツ</t>
    </rPh>
    <phoneticPr fontId="1"/>
  </si>
  <si>
    <t>抽出シート1</t>
    <rPh sb="0" eb="2">
      <t>チュウシュツ</t>
    </rPh>
    <phoneticPr fontId="1"/>
  </si>
  <si>
    <t>抽出シート2</t>
    <rPh sb="0" eb="2">
      <t>チュウシュツ</t>
    </rPh>
    <phoneticPr fontId="1"/>
  </si>
  <si>
    <t>各種取得率計算</t>
    <phoneticPr fontId="1"/>
  </si>
  <si>
    <t>総数</t>
    <rPh sb="0" eb="2">
      <t>ソウスウ</t>
    </rPh>
    <phoneticPr fontId="1"/>
  </si>
  <si>
    <t>検査1室</t>
    <rPh sb="0" eb="2">
      <t>ケンサ</t>
    </rPh>
    <rPh sb="3" eb="4">
      <t>シツ</t>
    </rPh>
    <phoneticPr fontId="1"/>
  </si>
  <si>
    <t>検査2室</t>
    <rPh sb="0" eb="2">
      <t>ケンサ</t>
    </rPh>
    <rPh sb="3" eb="4">
      <t>シツ</t>
    </rPh>
    <phoneticPr fontId="1"/>
  </si>
  <si>
    <t>熱処理室</t>
    <rPh sb="0" eb="4">
      <t>ネツショリシツ</t>
    </rPh>
    <phoneticPr fontId="1"/>
  </si>
  <si>
    <t>熱処理機械室</t>
    <rPh sb="0" eb="3">
      <t>ネツショリ</t>
    </rPh>
    <rPh sb="3" eb="6">
      <t>キカイシツ</t>
    </rPh>
    <phoneticPr fontId="1"/>
  </si>
  <si>
    <t>その他</t>
    <rPh sb="2" eb="3">
      <t>タ</t>
    </rPh>
    <phoneticPr fontId="1"/>
  </si>
  <si>
    <t>TPM引き継ぎ</t>
    <rPh sb="3" eb="4">
      <t>ヒ</t>
    </rPh>
    <rPh sb="5" eb="6">
      <t>ツ</t>
    </rPh>
    <phoneticPr fontId="1"/>
  </si>
  <si>
    <t>TPM関連</t>
    <rPh sb="3" eb="5">
      <t>カンレン</t>
    </rPh>
    <phoneticPr fontId="1"/>
  </si>
  <si>
    <t>部門改善担当班</t>
    <rPh sb="0" eb="4">
      <t>ブモンカイゼン</t>
    </rPh>
    <rPh sb="4" eb="6">
      <t>タントウ</t>
    </rPh>
    <rPh sb="6" eb="7">
      <t>ハン</t>
    </rPh>
    <phoneticPr fontId="1"/>
  </si>
  <si>
    <t>指導会日程</t>
    <rPh sb="0" eb="3">
      <t>シドウカイ</t>
    </rPh>
    <rPh sb="3" eb="5">
      <t>ニッテイ</t>
    </rPh>
    <phoneticPr fontId="1"/>
  </si>
  <si>
    <t>課長</t>
    <rPh sb="0" eb="2">
      <t>カチョウ</t>
    </rPh>
    <phoneticPr fontId="1"/>
  </si>
  <si>
    <t>C長</t>
    <rPh sb="1" eb="2">
      <t>チョウ</t>
    </rPh>
    <phoneticPr fontId="1"/>
  </si>
  <si>
    <t>担当班</t>
    <rPh sb="0" eb="2">
      <t>タントウ</t>
    </rPh>
    <rPh sb="2" eb="3">
      <t>ハン</t>
    </rPh>
    <phoneticPr fontId="1"/>
  </si>
  <si>
    <t>日程登録</t>
    <rPh sb="0" eb="4">
      <t>ニッテイトウロク</t>
    </rPh>
    <phoneticPr fontId="1"/>
  </si>
  <si>
    <t>各種取得率</t>
    <rPh sb="0" eb="2">
      <t>カクシュ</t>
    </rPh>
    <rPh sb="2" eb="5">
      <t>シュトクリツ</t>
    </rPh>
    <phoneticPr fontId="1"/>
  </si>
  <si>
    <t>・1級保全士</t>
    <rPh sb="2" eb="3">
      <t>キュウ</t>
    </rPh>
    <rPh sb="3" eb="5">
      <t>ホゼン</t>
    </rPh>
    <rPh sb="5" eb="6">
      <t>シ</t>
    </rPh>
    <phoneticPr fontId="1"/>
  </si>
  <si>
    <t>・2級保全士</t>
    <rPh sb="2" eb="3">
      <t>キュウ</t>
    </rPh>
    <rPh sb="3" eb="6">
      <t>ホゼンシ</t>
    </rPh>
    <phoneticPr fontId="1"/>
  </si>
  <si>
    <t>・工作認定</t>
    <rPh sb="1" eb="3">
      <t>コウサク</t>
    </rPh>
    <rPh sb="3" eb="5">
      <t>ニンテイ</t>
    </rPh>
    <phoneticPr fontId="1"/>
  </si>
  <si>
    <t>本日勤務</t>
    <rPh sb="0" eb="2">
      <t>ホンジツ</t>
    </rPh>
    <rPh sb="2" eb="4">
      <t>キンム</t>
    </rPh>
    <phoneticPr fontId="1"/>
  </si>
  <si>
    <t>グラフ各種更新用</t>
    <rPh sb="3" eb="5">
      <t>カクシュ</t>
    </rPh>
    <rPh sb="5" eb="8">
      <t>コウシンヨウ</t>
    </rPh>
    <phoneticPr fontId="1"/>
  </si>
  <si>
    <t>リスク抽出是正</t>
    <rPh sb="3" eb="5">
      <t>チュウシュツ</t>
    </rPh>
    <rPh sb="5" eb="7">
      <t>ゼセイ</t>
    </rPh>
    <phoneticPr fontId="1"/>
  </si>
  <si>
    <t>"C:\Users\owner\Desktop\VBA\2025"</t>
    <phoneticPr fontId="1"/>
  </si>
  <si>
    <t>総合効率抽出</t>
    <rPh sb="0" eb="4">
      <t>ソウゴウコウリツ</t>
    </rPh>
    <rPh sb="4" eb="6">
      <t>チュウシュツ</t>
    </rPh>
    <phoneticPr fontId="1"/>
  </si>
  <si>
    <t>C:\Users\owner\Desktop\VBA\あみきちのやつ.xlsm</t>
  </si>
  <si>
    <t>Status: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</si>
</sst>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/d\ h:mm;@"/>
  </numFmts>
  <fonts count="10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10"/>
      <color theme="1"/>
      <name val="BIZ UD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theme="1"/>
      <name val="BIZ UDゴシック"/>
      <family val="3"/>
      <charset val="128"/>
    </font>
    <font>
      <sz val="8"/>
      <color theme="1"/>
      <name val="BIZ UDゴシック"/>
      <family val="3"/>
      <charset val="128"/>
    </font>
    <font>
      <b/>
      <i/>
      <sz val="16"/>
      <color theme="1"/>
      <name val="Calibri"/>
      <family val="3"/>
      <charset val="128"/>
      <scheme val="minor"/>
    </font>
    <font>
      <b/>
      <sz val="14"/>
      <color theme="1"/>
      <name val="BIZ UD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4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5" xfId="0" applyBorder="1"/>
    <xf numFmtId="0" fontId="0" fillId="0" borderId="4" xfId="0" applyBorder="1"/>
    <xf numFmtId="14" fontId="2" fillId="0" borderId="4" xfId="0" applyNumberFormat="1" applyFont="1" applyBorder="1"/>
    <xf numFmtId="0" fontId="0" fillId="3" borderId="4" xfId="0" applyFill="1" applyBorder="1"/>
    <xf numFmtId="0" fontId="4" fillId="0" borderId="0" xfId="0" applyFont="1" applyAlignment="1">
      <alignment horizontal="right"/>
    </xf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 applyAlignment="1">
      <alignment horizontal="right"/>
    </xf>
    <xf numFmtId="0" fontId="4" fillId="0" borderId="8" xfId="0" applyFont="1" applyBorder="1"/>
    <xf numFmtId="0" fontId="4" fillId="2" borderId="9" xfId="0" applyFont="1" applyFill="1" applyBorder="1" applyAlignment="1">
      <alignment horizontal="center"/>
    </xf>
    <xf numFmtId="14" fontId="4" fillId="0" borderId="0" xfId="0" applyNumberFormat="1" applyFont="1" applyAlignment="1">
      <alignment horizontal="right"/>
    </xf>
    <xf numFmtId="0" fontId="5" fillId="0" borderId="10" xfId="0" applyFont="1" applyBorder="1" applyAlignment="1">
      <alignment horizontal="right"/>
    </xf>
    <xf numFmtId="14" fontId="4" fillId="0" borderId="7" xfId="0" applyNumberFormat="1" applyFont="1" applyBorder="1" applyAlignment="1">
      <alignment horizontal="right"/>
    </xf>
    <xf numFmtId="0" fontId="5" fillId="0" borderId="11" xfId="0" applyFont="1" applyBorder="1" applyAlignment="1">
      <alignment horizontal="right"/>
    </xf>
    <xf numFmtId="0" fontId="4" fillId="0" borderId="0" xfId="0" applyFont="1"/>
    <xf numFmtId="0" fontId="4" fillId="0" borderId="12" xfId="0" applyFont="1" applyBorder="1"/>
    <xf numFmtId="0" fontId="4" fillId="0" borderId="13" xfId="0" applyFont="1" applyBorder="1"/>
    <xf numFmtId="0" fontId="4" fillId="0" borderId="14" xfId="0" applyFont="1" applyBorder="1"/>
    <xf numFmtId="9" fontId="4" fillId="0" borderId="15" xfId="0" applyNumberFormat="1" applyFont="1" applyBorder="1"/>
    <xf numFmtId="0" fontId="4" fillId="0" borderId="16" xfId="0" applyFont="1" applyBorder="1"/>
    <xf numFmtId="0" fontId="4" fillId="0" borderId="12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16" xfId="0" applyFont="1" applyBorder="1" applyAlignment="1">
      <alignment horizontal="left"/>
    </xf>
    <xf numFmtId="9" fontId="4" fillId="0" borderId="17" xfId="0" applyNumberFormat="1" applyFont="1" applyBorder="1"/>
    <xf numFmtId="164" fontId="5" fillId="0" borderId="4" xfId="0" applyNumberFormat="1" applyFont="1" applyBorder="1"/>
    <xf numFmtId="22" fontId="5" fillId="0" borderId="4" xfId="0" applyNumberFormat="1" applyFont="1" applyBorder="1"/>
    <xf numFmtId="0" fontId="0" fillId="4" borderId="18" xfId="0" applyFill="1" applyBorder="1"/>
    <xf numFmtId="0" fontId="0" fillId="4" borderId="18" xfId="0" applyFill="1" applyBorder="1" applyAlignment="1">
      <alignment horizontal="right"/>
    </xf>
    <xf numFmtId="14" fontId="6" fillId="4" borderId="19" xfId="0" applyNumberFormat="1" applyFont="1" applyFill="1" applyBorder="1" applyAlignment="1">
      <alignment horizontal="center" vertical="center"/>
    </xf>
    <xf numFmtId="0" fontId="0" fillId="5" borderId="0" xfId="0" applyFill="1"/>
    <xf numFmtId="0" fontId="0" fillId="6" borderId="18" xfId="0" applyFill="1" applyBorder="1"/>
    <xf numFmtId="0" fontId="0" fillId="6" borderId="5" xfId="0" applyFill="1" applyBorder="1"/>
    <xf numFmtId="0" fontId="0" fillId="6" borderId="8" xfId="0" applyFill="1" applyBorder="1"/>
    <xf numFmtId="0" fontId="0" fillId="5" borderId="7" xfId="0" applyFill="1" applyBorder="1"/>
    <xf numFmtId="0" fontId="0" fillId="5" borderId="31" xfId="0" applyFill="1" applyBorder="1"/>
    <xf numFmtId="9" fontId="0" fillId="5" borderId="27" xfId="0" applyNumberFormat="1" applyFill="1" applyBorder="1"/>
    <xf numFmtId="9" fontId="0" fillId="5" borderId="28" xfId="0" applyNumberFormat="1" applyFill="1" applyBorder="1"/>
    <xf numFmtId="9" fontId="0" fillId="5" borderId="29" xfId="0" applyNumberFormat="1" applyFill="1" applyBorder="1"/>
    <xf numFmtId="0" fontId="5" fillId="0" borderId="42" xfId="0" applyFont="1" applyBorder="1"/>
    <xf numFmtId="0" fontId="0" fillId="0" borderId="14" xfId="0" applyBorder="1"/>
    <xf numFmtId="9" fontId="0" fillId="0" borderId="43" xfId="0" applyNumberFormat="1" applyBorder="1"/>
    <xf numFmtId="0" fontId="5" fillId="0" borderId="44" xfId="0" applyFont="1" applyBorder="1"/>
    <xf numFmtId="0" fontId="0" fillId="0" borderId="16" xfId="0" applyBorder="1"/>
    <xf numFmtId="9" fontId="0" fillId="0" borderId="45" xfId="0" applyNumberFormat="1" applyBorder="1"/>
    <xf numFmtId="0" fontId="0" fillId="5" borderId="4" xfId="0" applyFill="1" applyBorder="1"/>
    <xf numFmtId="0" fontId="0" fillId="5" borderId="6" xfId="0" applyFill="1" applyBorder="1"/>
    <xf numFmtId="0" fontId="0" fillId="5" borderId="5" xfId="0" applyFill="1" applyBorder="1"/>
    <xf numFmtId="0" fontId="0" fillId="5" borderId="8" xfId="0" applyFill="1" applyBorder="1"/>
    <xf numFmtId="0" fontId="0" fillId="5" borderId="34" xfId="0" applyFill="1" applyBorder="1" applyAlignment="1">
      <alignment horizontal="center"/>
    </xf>
    <xf numFmtId="0" fontId="0" fillId="5" borderId="20" xfId="0" applyFill="1" applyBorder="1" applyAlignment="1">
      <alignment horizontal="right"/>
    </xf>
    <xf numFmtId="0" fontId="0" fillId="5" borderId="27" xfId="0" applyFill="1" applyBorder="1" applyAlignment="1">
      <alignment horizontal="right"/>
    </xf>
    <xf numFmtId="14" fontId="0" fillId="0" borderId="37" xfId="0" applyNumberFormat="1" applyBorder="1"/>
    <xf numFmtId="14" fontId="0" fillId="5" borderId="28" xfId="0" applyNumberFormat="1" applyFill="1" applyBorder="1" applyAlignment="1">
      <alignment horizontal="right"/>
    </xf>
    <xf numFmtId="0" fontId="0" fillId="5" borderId="28" xfId="0" applyFill="1" applyBorder="1" applyAlignment="1">
      <alignment horizontal="right"/>
    </xf>
    <xf numFmtId="0" fontId="0" fillId="5" borderId="32" xfId="0" applyFill="1" applyBorder="1" applyAlignment="1">
      <alignment horizontal="right"/>
    </xf>
    <xf numFmtId="14" fontId="0" fillId="0" borderId="36" xfId="0" applyNumberFormat="1" applyBorder="1"/>
    <xf numFmtId="0" fontId="0" fillId="5" borderId="33" xfId="0" applyFill="1" applyBorder="1"/>
    <xf numFmtId="14" fontId="0" fillId="5" borderId="35" xfId="0" applyNumberFormat="1" applyFill="1" applyBorder="1" applyAlignment="1">
      <alignment horizontal="right"/>
    </xf>
    <xf numFmtId="0" fontId="0" fillId="5" borderId="22" xfId="0" applyFill="1" applyBorder="1" applyAlignment="1">
      <alignment horizontal="right"/>
    </xf>
    <xf numFmtId="0" fontId="0" fillId="5" borderId="29" xfId="0" applyFill="1" applyBorder="1" applyAlignment="1">
      <alignment horizontal="right"/>
    </xf>
    <xf numFmtId="0" fontId="0" fillId="5" borderId="20" xfId="0" applyFill="1" applyBorder="1"/>
    <xf numFmtId="0" fontId="0" fillId="5" borderId="21" xfId="0" applyFill="1" applyBorder="1"/>
    <xf numFmtId="14" fontId="8" fillId="5" borderId="30" xfId="0" applyNumberFormat="1" applyFont="1" applyFill="1" applyBorder="1" applyAlignment="1">
      <alignment horizontal="right"/>
    </xf>
    <xf numFmtId="0" fontId="0" fillId="5" borderId="26" xfId="0" applyFill="1" applyBorder="1" applyAlignment="1">
      <alignment horizontal="right"/>
    </xf>
    <xf numFmtId="0" fontId="0" fillId="5" borderId="22" xfId="0" applyFill="1" applyBorder="1"/>
    <xf numFmtId="0" fontId="0" fillId="5" borderId="23" xfId="0" applyFill="1" applyBorder="1"/>
    <xf numFmtId="0" fontId="0" fillId="5" borderId="0" xfId="0" applyFill="1" applyBorder="1"/>
    <xf numFmtId="0" fontId="9" fillId="5" borderId="46" xfId="0" applyFont="1" applyFill="1" applyBorder="1"/>
    <xf numFmtId="0" fontId="0" fillId="5" borderId="43" xfId="0" applyFill="1" applyBorder="1"/>
    <xf numFmtId="0" fontId="0" fillId="5" borderId="47" xfId="0" applyFill="1" applyBorder="1" applyAlignment="1">
      <alignment horizontal="center"/>
    </xf>
    <xf numFmtId="0" fontId="0" fillId="5" borderId="14" xfId="0" applyFill="1" applyBorder="1" applyAlignment="1">
      <alignment horizontal="right"/>
    </xf>
    <xf numFmtId="0" fontId="0" fillId="5" borderId="4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22" xfId="0" applyFill="1" applyBorder="1" applyAlignment="1">
      <alignment horizontal="left"/>
    </xf>
    <xf numFmtId="0" fontId="0" fillId="5" borderId="31" xfId="0" applyFill="1" applyBorder="1" applyAlignment="1">
      <alignment horizontal="left"/>
    </xf>
    <xf numFmtId="0" fontId="0" fillId="5" borderId="38" xfId="0" applyFill="1" applyBorder="1" applyAlignment="1">
      <alignment horizontal="center"/>
    </xf>
    <xf numFmtId="0" fontId="7" fillId="5" borderId="4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5" borderId="2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20" xfId="0" applyFill="1" applyBorder="1" applyAlignment="1">
      <alignment horizontal="left"/>
    </xf>
    <xf numFmtId="0" fontId="0" fillId="5" borderId="0" xfId="0" applyFill="1" applyAlignment="1">
      <alignment horizontal="left"/>
    </xf>
    <xf numFmtId="164" fontId="4" fillId="2" borderId="2" xfId="0" applyNumberFormat="1" applyFont="1" applyFill="1" applyBorder="1" applyAlignment="1">
      <alignment horizontal="center"/>
    </xf>
    <xf numFmtId="164" fontId="4" fillId="2" borderId="3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41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7" borderId="40" xfId="0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C97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ja-JP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リスク抽出是正</a:t>
            </a:r>
            <a:r>
              <a:rPr lang="ja-JP" alt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件数</a:t>
            </a:r>
            <a:endParaRPr lang="ja-JP" altLang="ja-JP"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 alt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抽出済</c:v>
          </c:tx>
          <c:spPr>
            <a:solidFill>
              <a:srgbClr val="00B0F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data!$G$3:$G$7</c:f>
              <c:strCache>
                <c:ptCount val="5"/>
                <c:pt idx="0">
                  <c:v>検査1室</c:v>
                </c:pt>
                <c:pt idx="1">
                  <c:v>検査2室</c:v>
                </c:pt>
                <c:pt idx="2">
                  <c:v>熱処理室</c:v>
                </c:pt>
                <c:pt idx="3">
                  <c:v>熱処理機械室</c:v>
                </c:pt>
                <c:pt idx="4">
                  <c:v>その他</c:v>
                </c:pt>
              </c:strCache>
            </c:strRef>
          </c:cat>
          <c:val>
            <c:numRef>
              <c:f>data!$H$3:$H$7</c:f>
              <c:numCache>
                <c:formatCode>General</c:formatCode>
                <c:ptCount val="5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4-4705-BD22-DFCD19ECC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6168720"/>
        <c:axId val="566169800"/>
      </c:barChart>
      <c:lineChart>
        <c:grouping val="standard"/>
        <c:varyColors val="0"/>
        <c:ser>
          <c:idx val="1"/>
          <c:order val="1"/>
          <c:tx>
            <c:v>是正済</c:v>
          </c:tx>
          <c:spPr>
            <a:ln w="22225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data!$G$3:$G$7</c:f>
              <c:strCache>
                <c:ptCount val="5"/>
                <c:pt idx="0">
                  <c:v>検査1室</c:v>
                </c:pt>
                <c:pt idx="1">
                  <c:v>検査2室</c:v>
                </c:pt>
                <c:pt idx="2">
                  <c:v>熱処理室</c:v>
                </c:pt>
                <c:pt idx="3">
                  <c:v>熱処理機械室</c:v>
                </c:pt>
                <c:pt idx="4">
                  <c:v>その他</c:v>
                </c:pt>
              </c:strCache>
            </c:strRef>
          </c:cat>
          <c:val>
            <c:numRef>
              <c:f>data!$I$3:$I$7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14-4705-BD22-DFCD19ECC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168720"/>
        <c:axId val="566169800"/>
      </c:lineChart>
      <c:catAx>
        <c:axId val="56616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BIZ UDゴシック" panose="020B0400000000000000" pitchFamily="49" charset="-128"/>
                <a:ea typeface="BIZ UDゴシック" panose="020B0400000000000000" pitchFamily="49" charset="-128"/>
                <a:cs typeface="+mn-cs"/>
              </a:defRPr>
            </a:pPr>
            <a:endParaRPr lang="ja-JP"/>
          </a:p>
        </c:txPr>
        <c:crossAx val="566169800"/>
        <c:crosses val="autoZero"/>
        <c:auto val="1"/>
        <c:lblAlgn val="ctr"/>
        <c:lblOffset val="100"/>
        <c:noMultiLvlLbl val="0"/>
      </c:catAx>
      <c:valAx>
        <c:axId val="566169800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616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gradFill flip="none" rotWithShape="1">
        <a:gsLst>
          <a:gs pos="37000">
            <a:srgbClr val="D6E6F5"/>
          </a:gs>
          <a:gs pos="0">
            <a:schemeClr val="tx1">
              <a:lumMod val="95000"/>
              <a:lumOff val="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path path="rect">
          <a:fillToRect l="50000" t="50000" r="50000" b="50000"/>
        </a:path>
        <a:tileRect/>
      </a:gradFill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en-US"/>
              <a:t>リスク全体抽出割合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228798521007496"/>
          <c:y val="0.25449079855699075"/>
          <c:w val="0.46520953518342339"/>
          <c:h val="0.654489963218528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2AC-40F9-9B5F-1A119D1636C7}"/>
              </c:ext>
            </c:extLst>
          </c:dPt>
          <c:dPt>
            <c:idx val="1"/>
            <c:bubble3D val="0"/>
            <c:explosion val="2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2AC-40F9-9B5F-1A119D1636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2AC-40F9-9B5F-1A119D1636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2AC-40F9-9B5F-1A119D1636C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2AC-40F9-9B5F-1A119D1636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data!$G$3:$G$7</c:f>
              <c:strCache>
                <c:ptCount val="5"/>
                <c:pt idx="0">
                  <c:v>検査1室</c:v>
                </c:pt>
                <c:pt idx="1">
                  <c:v>検査2室</c:v>
                </c:pt>
                <c:pt idx="2">
                  <c:v>熱処理室</c:v>
                </c:pt>
                <c:pt idx="3">
                  <c:v>熱処理機械室</c:v>
                </c:pt>
                <c:pt idx="4">
                  <c:v>その他</c:v>
                </c:pt>
              </c:strCache>
            </c:strRef>
          </c:cat>
          <c:val>
            <c:numRef>
              <c:f>data!$H$3:$H$7</c:f>
              <c:numCache>
                <c:formatCode>General</c:formatCode>
                <c:ptCount val="5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2AC-40F9-9B5F-1A119D1636C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495280313611187"/>
          <c:y val="0.18565359349316904"/>
          <c:w val="0.211053849631264"/>
          <c:h val="0.722724965191066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CheckBox" fmlaLink="data!$D$1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171449</xdr:colOff>
      <xdr:row>4</xdr:row>
      <xdr:rowOff>104775</xdr:rowOff>
    </xdr:from>
    <xdr:to>
      <xdr:col>0</xdr:col>
      <xdr:colOff>1323975</xdr:colOff>
      <xdr:row>6</xdr:row>
      <xdr:rowOff>161925</xdr:rowOff>
    </xdr:to>
    <xdr:sp macro="[0]!TPM_Handover_LogOpe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A94A1E9E-AADA-C627-EB04-EFAED65C40B8}"/>
            </a:ext>
          </a:extLst>
        </xdr:cNvPr>
        <xdr:cNvSpPr/>
      </xdr:nvSpPr>
      <xdr:spPr>
        <a:xfrm>
          <a:off x="171449" y="1247775"/>
          <a:ext cx="1152526" cy="5334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ysClr val="windowText" lastClr="000000"/>
              </a:solidFill>
            </a:rPr>
            <a:t>TPM</a:t>
          </a:r>
          <a:r>
            <a:rPr kumimoji="1" lang="ja-JP" altLang="en-US" sz="1200" b="1">
              <a:solidFill>
                <a:sysClr val="windowText" lastClr="000000"/>
              </a:solidFill>
            </a:rPr>
            <a:t>引継ぎ</a:t>
          </a:r>
        </a:p>
      </xdr:txBody>
    </xdr:sp>
    <xdr:clientData/>
  </xdr:twoCellAnchor>
  <xdr:twoCellAnchor>
    <xdr:from>
      <xdr:col>0</xdr:col>
      <xdr:colOff>180975</xdr:colOff>
      <xdr:row>1</xdr:row>
      <xdr:rowOff>114300</xdr:rowOff>
    </xdr:from>
    <xdr:to>
      <xdr:col>0</xdr:col>
      <xdr:colOff>1333500</xdr:colOff>
      <xdr:row>3</xdr:row>
      <xdr:rowOff>171450</xdr:rowOff>
    </xdr:to>
    <xdr:sp macro="[0]!Handover_LogOpe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1A5385F-239E-4312-A375-7B601DD15FFC}"/>
            </a:ext>
          </a:extLst>
        </xdr:cNvPr>
        <xdr:cNvSpPr/>
      </xdr:nvSpPr>
      <xdr:spPr>
        <a:xfrm>
          <a:off x="180975" y="542925"/>
          <a:ext cx="1152525" cy="5334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ysClr val="windowText" lastClr="000000"/>
              </a:solidFill>
            </a:rPr>
            <a:t>2025</a:t>
          </a:r>
          <a:r>
            <a:rPr kumimoji="1" lang="ja-JP" altLang="en-US" sz="1200" b="1">
              <a:solidFill>
                <a:sysClr val="windowText" lastClr="000000"/>
              </a:solidFill>
            </a:rPr>
            <a:t>引継ぎ</a:t>
          </a:r>
        </a:p>
      </xdr:txBody>
    </xdr:sp>
    <xdr:clientData/>
  </xdr:twoCellAnchor>
  <xdr:twoCellAnchor>
    <xdr:from>
      <xdr:col>1</xdr:col>
      <xdr:colOff>209550</xdr:colOff>
      <xdr:row>1</xdr:row>
      <xdr:rowOff>66676</xdr:rowOff>
    </xdr:from>
    <xdr:to>
      <xdr:col>1</xdr:col>
      <xdr:colOff>1285875</xdr:colOff>
      <xdr:row>3</xdr:row>
      <xdr:rowOff>190500</xdr:rowOff>
    </xdr:to>
    <xdr:sp macro="[0]!PPTOpe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F6689F0-848E-4B2E-AC17-5501FB12190C}"/>
            </a:ext>
          </a:extLst>
        </xdr:cNvPr>
        <xdr:cNvSpPr/>
      </xdr:nvSpPr>
      <xdr:spPr>
        <a:xfrm>
          <a:off x="1695450" y="495301"/>
          <a:ext cx="1076325" cy="600074"/>
        </a:xfrm>
        <a:prstGeom prst="roundRect">
          <a:avLst/>
        </a:prstGeom>
        <a:solidFill>
          <a:srgbClr val="FC9728"/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最新</a:t>
          </a:r>
          <a:r>
            <a:rPr kumimoji="1" lang="en-US" altLang="ja-JP" sz="1200" b="1">
              <a:solidFill>
                <a:sysClr val="windowText" lastClr="000000"/>
              </a:solidFill>
            </a:rPr>
            <a:t>PowerPoint</a:t>
          </a:r>
          <a:endParaRPr kumimoji="1" lang="ja-JP" alt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200025</xdr:colOff>
      <xdr:row>4</xdr:row>
      <xdr:rowOff>76200</xdr:rowOff>
    </xdr:from>
    <xdr:to>
      <xdr:col>1</xdr:col>
      <xdr:colOff>1276350</xdr:colOff>
      <xdr:row>6</xdr:row>
      <xdr:rowOff>200024</xdr:rowOff>
    </xdr:to>
    <xdr:sp macro="[0]!WordOpe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B0D76175-3695-4E6F-AB43-EA7CEEEB12A8}"/>
            </a:ext>
          </a:extLst>
        </xdr:cNvPr>
        <xdr:cNvSpPr/>
      </xdr:nvSpPr>
      <xdr:spPr>
        <a:xfrm>
          <a:off x="1685925" y="1219200"/>
          <a:ext cx="1076325" cy="600074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最新 原稿</a:t>
          </a:r>
        </a:p>
      </xdr:txBody>
    </xdr:sp>
    <xdr:clientData/>
  </xdr:twoCellAnchor>
  <xdr:twoCellAnchor>
    <xdr:from>
      <xdr:col>1</xdr:col>
      <xdr:colOff>200025</xdr:colOff>
      <xdr:row>7</xdr:row>
      <xdr:rowOff>76200</xdr:rowOff>
    </xdr:from>
    <xdr:to>
      <xdr:col>1</xdr:col>
      <xdr:colOff>1276350</xdr:colOff>
      <xdr:row>9</xdr:row>
      <xdr:rowOff>200024</xdr:rowOff>
    </xdr:to>
    <xdr:sp macro="[0]!Risk_IdentificationOpen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B415B68E-0C91-4D54-B3CF-34E90C68E1E1}"/>
            </a:ext>
          </a:extLst>
        </xdr:cNvPr>
        <xdr:cNvSpPr/>
      </xdr:nvSpPr>
      <xdr:spPr>
        <a:xfrm>
          <a:off x="1685925" y="1943100"/>
          <a:ext cx="1076325" cy="600074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リスク抽出シート</a:t>
          </a:r>
        </a:p>
      </xdr:txBody>
    </xdr:sp>
    <xdr:clientData/>
  </xdr:twoCellAnchor>
  <xdr:twoCellAnchor>
    <xdr:from>
      <xdr:col>1</xdr:col>
      <xdr:colOff>200025</xdr:colOff>
      <xdr:row>10</xdr:row>
      <xdr:rowOff>85725</xdr:rowOff>
    </xdr:from>
    <xdr:to>
      <xdr:col>1</xdr:col>
      <xdr:colOff>1276350</xdr:colOff>
      <xdr:row>12</xdr:row>
      <xdr:rowOff>209549</xdr:rowOff>
    </xdr:to>
    <xdr:sp macro="[0]!Defect_IdentificationOpe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A01B73CA-611E-4ABA-8E74-8EEDDDDC47A5}"/>
            </a:ext>
          </a:extLst>
        </xdr:cNvPr>
        <xdr:cNvSpPr/>
      </xdr:nvSpPr>
      <xdr:spPr>
        <a:xfrm>
          <a:off x="1685925" y="2667000"/>
          <a:ext cx="1076325" cy="6000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不具合抽出シート</a:t>
          </a:r>
        </a:p>
      </xdr:txBody>
    </xdr:sp>
    <xdr:clientData/>
  </xdr:twoCellAnchor>
  <xdr:twoCellAnchor>
    <xdr:from>
      <xdr:col>0</xdr:col>
      <xdr:colOff>171450</xdr:colOff>
      <xdr:row>7</xdr:row>
      <xdr:rowOff>123825</xdr:rowOff>
    </xdr:from>
    <xdr:to>
      <xdr:col>0</xdr:col>
      <xdr:colOff>1323976</xdr:colOff>
      <xdr:row>9</xdr:row>
      <xdr:rowOff>180975</xdr:rowOff>
    </xdr:to>
    <xdr:sp macro="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668D497F-37AC-484F-9640-5AFECEEC7FAD}"/>
            </a:ext>
          </a:extLst>
        </xdr:cNvPr>
        <xdr:cNvSpPr/>
      </xdr:nvSpPr>
      <xdr:spPr>
        <a:xfrm>
          <a:off x="171450" y="1981200"/>
          <a:ext cx="1152526" cy="5334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</a:rPr>
            <a:t>検査フォルダ</a:t>
          </a:r>
        </a:p>
      </xdr:txBody>
    </xdr:sp>
    <xdr:clientData/>
  </xdr:twoCellAnchor>
  <xdr:twoCellAnchor>
    <xdr:from>
      <xdr:col>0</xdr:col>
      <xdr:colOff>171450</xdr:colOff>
      <xdr:row>10</xdr:row>
      <xdr:rowOff>133350</xdr:rowOff>
    </xdr:from>
    <xdr:to>
      <xdr:col>0</xdr:col>
      <xdr:colOff>1323976</xdr:colOff>
      <xdr:row>12</xdr:row>
      <xdr:rowOff>190500</xdr:rowOff>
    </xdr:to>
    <xdr:sp macro="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F0F7FE06-34FB-4970-ABF6-12068AE67FE3}"/>
            </a:ext>
          </a:extLst>
        </xdr:cNvPr>
        <xdr:cNvSpPr/>
      </xdr:nvSpPr>
      <xdr:spPr>
        <a:xfrm>
          <a:off x="171450" y="2705100"/>
          <a:ext cx="1152526" cy="5334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</a:rPr>
            <a:t>個人ファイル</a:t>
          </a:r>
        </a:p>
      </xdr:txBody>
    </xdr:sp>
    <xdr:clientData/>
  </xdr:twoCellAnchor>
  <xdr:twoCellAnchor>
    <xdr:from>
      <xdr:col>8</xdr:col>
      <xdr:colOff>302559</xdr:colOff>
      <xdr:row>0</xdr:row>
      <xdr:rowOff>358587</xdr:rowOff>
    </xdr:from>
    <xdr:to>
      <xdr:col>13</xdr:col>
      <xdr:colOff>593912</xdr:colOff>
      <xdr:row>12</xdr:row>
      <xdr:rowOff>87405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1406177D-A8F4-4305-892A-8C66E5931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224118</xdr:colOff>
      <xdr:row>0</xdr:row>
      <xdr:rowOff>369794</xdr:rowOff>
    </xdr:from>
    <xdr:to>
      <xdr:col>20</xdr:col>
      <xdr:colOff>1</xdr:colOff>
      <xdr:row>12</xdr:row>
      <xdr:rowOff>89647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EC2D1510-27EC-41F4-A9CA-6D7159B6F0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1344706</xdr:colOff>
      <xdr:row>7</xdr:row>
      <xdr:rowOff>78441</xdr:rowOff>
    </xdr:from>
    <xdr:to>
      <xdr:col>3</xdr:col>
      <xdr:colOff>381560</xdr:colOff>
      <xdr:row>9</xdr:row>
      <xdr:rowOff>202265</xdr:rowOff>
    </xdr:to>
    <xdr:sp macro="[0]!SafeUpdateExternalLinks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2A584330-7F82-44CD-BDA7-30E956A33E55}"/>
            </a:ext>
          </a:extLst>
        </xdr:cNvPr>
        <xdr:cNvSpPr/>
      </xdr:nvSpPr>
      <xdr:spPr>
        <a:xfrm>
          <a:off x="2835088" y="1916206"/>
          <a:ext cx="1076325" cy="594471"/>
        </a:xfrm>
        <a:prstGeom prst="roundRec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グラフ</a:t>
          </a:r>
          <a:endParaRPr kumimoji="1" lang="en-US" altLang="ja-JP" sz="1000" b="1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リンク更新</a:t>
          </a:r>
        </a:p>
      </xdr:txBody>
    </xdr:sp>
    <xdr:clientData/>
  </xdr:twoCellAnchor>
  <xdr:twoCellAnchor>
    <xdr:from>
      <xdr:col>4</xdr:col>
      <xdr:colOff>44824</xdr:colOff>
      <xdr:row>15</xdr:row>
      <xdr:rowOff>56031</xdr:rowOff>
    </xdr:from>
    <xdr:to>
      <xdr:col>5</xdr:col>
      <xdr:colOff>706531</xdr:colOff>
      <xdr:row>17</xdr:row>
      <xdr:rowOff>179855</xdr:rowOff>
    </xdr:to>
    <xdr:sp macro="" textlink="">
      <xdr:nvSpPr>
        <xdr:cNvPr id="17" name="四角形: 角を丸くする 16">
          <a:extLst>
            <a:ext uri="{FF2B5EF4-FFF2-40B4-BE49-F238E27FC236}">
              <a16:creationId xmlns:a16="http://schemas.microsoft.com/office/drawing/2014/main" id="{0C2B0108-16C2-445D-9D7A-397772CBF26C}"/>
            </a:ext>
          </a:extLst>
        </xdr:cNvPr>
        <xdr:cNvSpPr/>
      </xdr:nvSpPr>
      <xdr:spPr>
        <a:xfrm>
          <a:off x="4000500" y="3787590"/>
          <a:ext cx="1076325" cy="594471"/>
        </a:xfrm>
        <a:prstGeom prst="roundRect">
          <a:avLst/>
        </a:prstGeom>
        <a:solidFill>
          <a:schemeClr val="tx1"/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chemeClr val="bg1"/>
              </a:solidFill>
            </a:rPr>
            <a:t>①</a:t>
          </a:r>
          <a:r>
            <a:rPr kumimoji="1" lang="en-US" altLang="ja-JP" sz="900" b="1">
              <a:solidFill>
                <a:schemeClr val="bg1"/>
              </a:solidFill>
            </a:rPr>
            <a:t>DB</a:t>
          </a:r>
          <a:r>
            <a:rPr kumimoji="1" lang="ja-JP" altLang="en-US" sz="900" b="1">
              <a:solidFill>
                <a:schemeClr val="bg1"/>
              </a:solidFill>
            </a:rPr>
            <a:t>データ</a:t>
          </a:r>
          <a:endParaRPr kumimoji="1" lang="en-US" altLang="ja-JP" sz="900" b="1">
            <a:solidFill>
              <a:schemeClr val="bg1"/>
            </a:solidFill>
          </a:endParaRPr>
        </a:p>
        <a:p>
          <a:pPr algn="ctr"/>
          <a:r>
            <a:rPr kumimoji="1" lang="ja-JP" altLang="en-US" sz="900" b="1">
              <a:solidFill>
                <a:schemeClr val="bg1"/>
              </a:solidFill>
            </a:rPr>
            <a:t>貼り付けシート</a:t>
          </a:r>
          <a:endParaRPr kumimoji="1" lang="en-US" altLang="ja-JP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33615</xdr:colOff>
      <xdr:row>15</xdr:row>
      <xdr:rowOff>44827</xdr:rowOff>
    </xdr:from>
    <xdr:to>
      <xdr:col>7</xdr:col>
      <xdr:colOff>504822</xdr:colOff>
      <xdr:row>17</xdr:row>
      <xdr:rowOff>168651</xdr:rowOff>
    </xdr:to>
    <xdr:sp macro="" textlink="">
      <xdr:nvSpPr>
        <xdr:cNvPr id="18" name="四角形: 角を丸くする 17">
          <a:extLst>
            <a:ext uri="{FF2B5EF4-FFF2-40B4-BE49-F238E27FC236}">
              <a16:creationId xmlns:a16="http://schemas.microsoft.com/office/drawing/2014/main" id="{41E3E94E-7EAA-4D82-831A-BE91FA4135DE}"/>
            </a:ext>
          </a:extLst>
        </xdr:cNvPr>
        <xdr:cNvSpPr/>
      </xdr:nvSpPr>
      <xdr:spPr>
        <a:xfrm>
          <a:off x="5188321" y="3776386"/>
          <a:ext cx="1076325" cy="594471"/>
        </a:xfrm>
        <a:prstGeom prst="roundRect">
          <a:avLst/>
        </a:prstGeom>
        <a:solidFill>
          <a:schemeClr val="tx1"/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chemeClr val="bg1"/>
              </a:solidFill>
            </a:rPr>
            <a:t>②抽出開始</a:t>
          </a:r>
          <a:endParaRPr kumimoji="1" lang="en-US" altLang="ja-JP" sz="9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247650</xdr:rowOff>
        </xdr:from>
        <xdr:to>
          <xdr:col>7</xdr:col>
          <xdr:colOff>314325</xdr:colOff>
          <xdr:row>14</xdr:row>
          <xdr:rowOff>238125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56030</xdr:colOff>
      <xdr:row>5</xdr:row>
      <xdr:rowOff>11205</xdr:rowOff>
    </xdr:from>
    <xdr:to>
      <xdr:col>7</xdr:col>
      <xdr:colOff>504264</xdr:colOff>
      <xdr:row>6</xdr:row>
      <xdr:rowOff>100853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A93AD2BD-E4C6-4EC6-78D2-03121E3CCD6F}"/>
            </a:ext>
          </a:extLst>
        </xdr:cNvPr>
        <xdr:cNvSpPr txBox="1"/>
      </xdr:nvSpPr>
      <xdr:spPr>
        <a:xfrm>
          <a:off x="4011706" y="1378323"/>
          <a:ext cx="2252382" cy="324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日程が決まったら↑に手入力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owner/Desktop/VBA/&#25277;&#20986;&#31649;&#29702;&#12471;&#12540;&#12488;.xlsm" TargetMode="External"/><Relationship Id="rId1" Type="http://schemas.openxmlformats.org/officeDocument/2006/relationships/externalLinkPath" Target="&#25277;&#20986;&#31649;&#29702;&#12471;&#12540;&#1248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件数抽出"/>
      <sheetName val="data2"/>
    </sheetNames>
    <sheetDataSet>
      <sheetData sheetId="0"/>
      <sheetData sheetId="1">
        <row r="5">
          <cell r="C5">
            <v>3</v>
          </cell>
          <cell r="D5">
            <v>2</v>
          </cell>
        </row>
        <row r="6">
          <cell r="C6">
            <v>5</v>
          </cell>
          <cell r="D6">
            <v>2</v>
          </cell>
        </row>
        <row r="7">
          <cell r="C7">
            <v>5</v>
          </cell>
          <cell r="D7">
            <v>2</v>
          </cell>
        </row>
        <row r="8">
          <cell r="C8">
            <v>2</v>
          </cell>
          <cell r="D8">
            <v>1</v>
          </cell>
        </row>
        <row r="9">
          <cell r="C9">
            <v>4</v>
          </cell>
          <cell r="D9">
            <v>3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D0DD-78B0-4BEE-B8E1-78CDA8590487}">
  <sheetPr codeName="Sheet1"/>
  <dimension ref="A1:U26"/>
  <sheetViews>
    <sheetView tabSelected="1" zoomScale="85" zoomScaleNormal="85" workbookViewId="0">
      <selection activeCell="B19" sqref="B19"/>
    </sheetView>
  </sheetViews>
  <sheetFormatPr defaultRowHeight="15"/>
  <cols>
    <col min="1" max="1" width="19.50390625" customWidth="1"/>
    <col min="2" max="2" width="18.83203125" customWidth="1"/>
    <col min="3" max="3" width="7.93359375" customWidth="1"/>
    <col min="4" max="4" width="5.6484375" customWidth="1"/>
    <col min="5" max="5" width="5.51171875" customWidth="1"/>
    <col min="6" max="6" width="10.22265625" bestFit="1" customWidth="1"/>
    <col min="7" max="7" width="7.93359375" customWidth="1"/>
    <col min="8" max="8" width="6.859375" customWidth="1"/>
  </cols>
  <sheetData>
    <row r="1" spans="1:21" ht="33.75" customHeight="1">
      <c r="A1" s="29">
        <f ca="1">TODAY()</f>
        <v>45794</v>
      </c>
      <c r="B1" s="80" t="s">
        <v>20</v>
      </c>
      <c r="C1" s="81"/>
      <c r="D1" s="81"/>
      <c r="E1" s="81"/>
      <c r="F1" s="81"/>
      <c r="G1" s="81"/>
      <c r="H1" s="81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47"/>
    </row>
    <row r="2" spans="1:21">
      <c r="A2" s="28"/>
      <c r="B2" s="30"/>
      <c r="C2" s="74" t="s">
        <v>31</v>
      </c>
      <c r="D2" s="76"/>
      <c r="E2" s="74" t="s">
        <v>22</v>
      </c>
      <c r="F2" s="75"/>
      <c r="G2" s="79"/>
      <c r="H2" s="49" t="s">
        <v>25</v>
      </c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47"/>
    </row>
    <row r="3" spans="1:21">
      <c r="A3" s="27"/>
      <c r="B3" s="30"/>
      <c r="C3" s="50" t="str">
        <f>data!B2</f>
        <v>1班</v>
      </c>
      <c r="D3" s="51" t="str">
        <f ca="1">data!C2</f>
        <v>2直</v>
      </c>
      <c r="E3" s="50" t="s">
        <v>23</v>
      </c>
      <c r="F3" s="52">
        <v>45803</v>
      </c>
      <c r="G3" s="30" t="str">
        <f ca="1">data!C8</f>
        <v>あと9日</v>
      </c>
      <c r="H3" s="53" t="str">
        <f>data!B8</f>
        <v>3班</v>
      </c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47"/>
    </row>
    <row r="4" spans="1:21">
      <c r="A4" s="27"/>
      <c r="B4" s="30"/>
      <c r="C4" s="50" t="str">
        <f>data!B3</f>
        <v>2班</v>
      </c>
      <c r="D4" s="54" t="str">
        <f ca="1">data!C3</f>
        <v>休み</v>
      </c>
      <c r="E4" s="55" t="s">
        <v>24</v>
      </c>
      <c r="F4" s="56">
        <v>45798</v>
      </c>
      <c r="G4" s="57" t="str">
        <f ca="1">data!C9</f>
        <v>あと4日</v>
      </c>
      <c r="H4" s="58" t="str">
        <f>data!B9</f>
        <v>2班</v>
      </c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47"/>
    </row>
    <row r="5" spans="1:21">
      <c r="A5" s="27"/>
      <c r="B5" s="30"/>
      <c r="C5" s="59" t="str">
        <f>data!B4</f>
        <v>3班</v>
      </c>
      <c r="D5" s="60" t="str">
        <f ca="1">data!C4</f>
        <v>1直</v>
      </c>
      <c r="E5" s="82" t="s">
        <v>26</v>
      </c>
      <c r="F5" s="83"/>
      <c r="G5" s="83"/>
      <c r="H5" s="84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47"/>
    </row>
    <row r="6" spans="1:21">
      <c r="A6" s="27"/>
      <c r="B6" s="30"/>
      <c r="C6" s="74" t="s">
        <v>21</v>
      </c>
      <c r="D6" s="76"/>
      <c r="E6" s="61"/>
      <c r="F6" s="30"/>
      <c r="G6" s="30"/>
      <c r="H6" s="62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47"/>
    </row>
    <row r="7" spans="1:21">
      <c r="A7" s="31"/>
      <c r="B7" s="30"/>
      <c r="C7" s="63" t="str">
        <f ca="1">data!A6</f>
        <v>2025'5月</v>
      </c>
      <c r="D7" s="64" t="str">
        <f ca="1">data!B6</f>
        <v>2班</v>
      </c>
      <c r="E7" s="65"/>
      <c r="F7" s="35"/>
      <c r="G7" s="35"/>
      <c r="H7" s="66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47"/>
    </row>
    <row r="8" spans="1:21">
      <c r="A8" s="32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47"/>
    </row>
    <row r="9" spans="1:21">
      <c r="A9" s="32"/>
      <c r="B9" s="30"/>
      <c r="C9" s="30"/>
      <c r="D9" s="30"/>
      <c r="E9" s="74" t="s">
        <v>27</v>
      </c>
      <c r="F9" s="75"/>
      <c r="G9" s="75"/>
      <c r="H9" s="76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47"/>
    </row>
    <row r="10" spans="1:21">
      <c r="A10" s="32"/>
      <c r="B10" s="30"/>
      <c r="C10" s="30"/>
      <c r="D10" s="30"/>
      <c r="E10" s="85" t="s">
        <v>28</v>
      </c>
      <c r="F10" s="86"/>
      <c r="G10" s="30" t="str">
        <f>data!B12&amp;"名"</f>
        <v>11名</v>
      </c>
      <c r="H10" s="36">
        <f>data!C12</f>
        <v>0.36666666666666664</v>
      </c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47"/>
    </row>
    <row r="11" spans="1:21">
      <c r="A11" s="32"/>
      <c r="B11" s="30"/>
      <c r="C11" s="30"/>
      <c r="D11" s="30"/>
      <c r="E11" s="85" t="s">
        <v>29</v>
      </c>
      <c r="F11" s="86"/>
      <c r="G11" s="30" t="str">
        <f>data!B13&amp;"名"</f>
        <v>1名</v>
      </c>
      <c r="H11" s="37">
        <f>data!C13</f>
        <v>3.3333333333333333E-2</v>
      </c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47"/>
    </row>
    <row r="12" spans="1:21">
      <c r="A12" s="32"/>
      <c r="B12" s="30"/>
      <c r="C12" s="30"/>
      <c r="D12" s="30"/>
      <c r="E12" s="77" t="s">
        <v>30</v>
      </c>
      <c r="F12" s="78"/>
      <c r="G12" s="35" t="str">
        <f>data!B14&amp;"名"</f>
        <v>5名</v>
      </c>
      <c r="H12" s="38">
        <f>data!C14</f>
        <v>0.16666666666666666</v>
      </c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47"/>
    </row>
    <row r="13" spans="1:21">
      <c r="A13" s="32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47"/>
    </row>
    <row r="14" spans="1:21" ht="15.75" thickBot="1">
      <c r="A14" s="33"/>
      <c r="B14" s="67"/>
      <c r="C14" s="67"/>
      <c r="D14" s="67"/>
      <c r="E14" s="74" t="s">
        <v>35</v>
      </c>
      <c r="F14" s="75"/>
      <c r="G14" s="75"/>
      <c r="H14" s="76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47"/>
    </row>
    <row r="15" spans="1:21">
      <c r="A15" s="45"/>
      <c r="B15" s="67"/>
      <c r="C15" s="67"/>
      <c r="D15" s="67"/>
      <c r="E15" s="68" t="s">
        <v>37</v>
      </c>
      <c r="F15" s="70" t="str">
        <f>IF(data!D1=TRUE, "完了!!", "未完了")</f>
        <v>未完了</v>
      </c>
      <c r="G15" s="71" t="str">
        <f ca="1">TEXT(TODAY(),"m") &amp; "月度"&amp;"➡"</f>
        <v>5月度➡</v>
      </c>
      <c r="H15" s="69"/>
      <c r="I15" s="67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47"/>
    </row>
    <row r="16" spans="1:21">
      <c r="A16" s="72"/>
      <c r="B16" s="73"/>
      <c r="C16" s="67"/>
      <c r="D16" s="67"/>
      <c r="E16" s="61"/>
      <c r="F16" s="67"/>
      <c r="G16" s="67"/>
      <c r="H16" s="62"/>
      <c r="I16" s="67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47"/>
    </row>
    <row r="17" spans="1:21">
      <c r="A17" s="45"/>
      <c r="B17" s="67"/>
      <c r="C17" s="67"/>
      <c r="D17" s="67"/>
      <c r="E17" s="61"/>
      <c r="F17" s="67"/>
      <c r="G17" s="67"/>
      <c r="H17" s="62"/>
      <c r="I17" s="67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47"/>
    </row>
    <row r="18" spans="1:21">
      <c r="A18" s="45"/>
      <c r="B18" s="67"/>
      <c r="C18" s="67"/>
      <c r="D18" s="67"/>
      <c r="E18" s="61"/>
      <c r="F18" s="67"/>
      <c r="G18" s="67"/>
      <c r="H18" s="62"/>
      <c r="I18" s="67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47"/>
    </row>
    <row r="19" spans="1:21">
      <c r="A19" s="45"/>
      <c r="B19" s="67"/>
      <c r="C19" s="67"/>
      <c r="D19" s="67"/>
      <c r="E19" s="61"/>
      <c r="F19" s="67"/>
      <c r="G19" s="67"/>
      <c r="H19" s="62"/>
      <c r="I19" s="67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47"/>
    </row>
    <row r="20" spans="1:21">
      <c r="A20" s="45"/>
      <c r="B20" s="67"/>
      <c r="C20" s="67"/>
      <c r="D20" s="67"/>
      <c r="E20" s="61"/>
      <c r="F20" s="67"/>
      <c r="G20" s="67"/>
      <c r="H20" s="62"/>
      <c r="I20" s="67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47"/>
    </row>
    <row r="21" spans="1:21">
      <c r="A21" s="45"/>
      <c r="B21" s="67"/>
      <c r="C21" s="67"/>
      <c r="D21" s="67"/>
      <c r="E21" s="65"/>
      <c r="F21" s="35"/>
      <c r="G21" s="35"/>
      <c r="H21" s="66"/>
      <c r="I21" s="67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47"/>
    </row>
    <row r="22" spans="1:21">
      <c r="A22" s="45"/>
      <c r="B22" s="67"/>
      <c r="C22" s="67"/>
      <c r="D22" s="67"/>
      <c r="E22" s="67"/>
      <c r="F22" s="67"/>
      <c r="G22" s="67"/>
      <c r="H22" s="67"/>
      <c r="I22" s="67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47"/>
    </row>
    <row r="23" spans="1:21">
      <c r="A23" s="45"/>
      <c r="B23" s="67"/>
      <c r="C23" s="67"/>
      <c r="D23" s="67"/>
      <c r="E23" s="67"/>
      <c r="F23" s="67"/>
      <c r="G23" s="67"/>
      <c r="H23" s="67"/>
      <c r="I23" s="67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47"/>
    </row>
    <row r="24" spans="1:21">
      <c r="A24" s="45"/>
      <c r="B24" s="67"/>
      <c r="C24" s="67"/>
      <c r="D24" s="67"/>
      <c r="E24" s="67"/>
      <c r="F24" s="67"/>
      <c r="G24" s="67"/>
      <c r="H24" s="67"/>
      <c r="I24" s="67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47"/>
    </row>
    <row r="25" spans="1:21">
      <c r="A25" s="45"/>
      <c r="B25" s="67"/>
      <c r="C25" s="67"/>
      <c r="D25" s="67"/>
      <c r="E25" s="67"/>
      <c r="F25" s="67"/>
      <c r="G25" s="67"/>
      <c r="H25" s="67"/>
      <c r="I25" s="67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47"/>
    </row>
    <row r="26" spans="1:21" ht="15.75" thickBot="1">
      <c r="A26" s="46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48"/>
    </row>
  </sheetData>
  <mergeCells count="11">
    <mergeCell ref="B1:H1"/>
    <mergeCell ref="E5:H5"/>
    <mergeCell ref="E9:H9"/>
    <mergeCell ref="E10:F10"/>
    <mergeCell ref="E11:F11"/>
    <mergeCell ref="A16:B16"/>
    <mergeCell ref="E14:H14"/>
    <mergeCell ref="E12:F12"/>
    <mergeCell ref="C2:D2"/>
    <mergeCell ref="C6:D6"/>
    <mergeCell ref="E2:G2"/>
  </mergeCells>
  <phoneticPr fontId="1"/>
  <conditionalFormatting sqref="F15">
    <cfRule type="expression" dxfId="0" priority="1">
      <formula>F15="未完了"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247650</xdr:rowOff>
                  </from>
                  <to>
                    <xdr:col>7</xdr:col>
                    <xdr:colOff>314325</xdr:colOff>
                    <xdr:row>14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18"/>
  <sheetViews>
    <sheetView topLeftCell="A4" workbookViewId="0">
      <selection activeCell="E10" sqref="E10"/>
    </sheetView>
  </sheetViews>
  <sheetFormatPr defaultRowHeight="15"/>
  <cols>
    <col min="1" max="1" width="12.5078125" customWidth="1"/>
    <col min="2" max="2" width="7.6640625" customWidth="1"/>
    <col min="3" max="3" width="7.6640625" style="1" customWidth="1"/>
    <col min="4" max="4" width="5.78125" customWidth="1"/>
    <col min="5" max="5" width="13.046875" style="2" customWidth="1"/>
    <col min="6" max="6" width="17.890625" style="1" customWidth="1"/>
    <col min="7" max="10" width="5.6484375" customWidth="1"/>
  </cols>
  <sheetData>
    <row r="1" spans="1:10">
      <c r="A1" s="89" t="s">
        <v>3</v>
      </c>
      <c r="B1" s="90"/>
      <c r="C1" s="91"/>
      <c r="D1" t="b">
        <v>0</v>
      </c>
      <c r="E1" s="4" t="s">
        <v>7</v>
      </c>
      <c r="F1" s="1" t="s">
        <v>34</v>
      </c>
      <c r="G1" s="92" t="s">
        <v>32</v>
      </c>
      <c r="H1" s="93"/>
      <c r="I1" s="93"/>
      <c r="J1" s="93"/>
    </row>
    <row r="2" spans="1:10">
      <c r="A2" s="25">
        <f ca="1">NOW()</f>
        <v>45794.527146296299</v>
      </c>
      <c r="B2" s="5" t="s">
        <v>0</v>
      </c>
      <c r="C2" s="6" t="str">
        <f ca="1">CHOOSE(MATCH(B2, {"1班","2班","3班"}, 0), INDEX({"1直","2直","休み"}, MOD(INT((A3 - DATE(2025,5,5))/3), 3) + 1), INDEX({"2直","休み","1直"}, MOD(INT((A3 - DATE(2025,5,5))/3), 3) + 1), INDEX({"休み","1直","2直"}, MOD(INT((A3 - DATE(2025,5,5))/3), 3) + 1))</f>
        <v>2直</v>
      </c>
      <c r="E2" s="4" t="s">
        <v>8</v>
      </c>
      <c r="F2" s="1" t="s">
        <v>34</v>
      </c>
      <c r="G2" s="94" t="s">
        <v>33</v>
      </c>
      <c r="H2" s="95"/>
      <c r="I2" s="95"/>
      <c r="J2" s="96"/>
    </row>
    <row r="3" spans="1:10">
      <c r="A3" s="26">
        <f ca="1">IF(MOD(A2,1)&lt;TIME(6,0,0), A2-1,A2)</f>
        <v>45794.527146296299</v>
      </c>
      <c r="B3" s="5" t="s">
        <v>1</v>
      </c>
      <c r="C3" s="6" t="str">
        <f ca="1">CHOOSE(MATCH(B3, {"1班","2班","3班"}, 0), INDEX({"1直","2直","休み"}, MOD(INT((A3 - DATE(2025,5,5))/3), 3) + 1), INDEX({"2直","休み","1直"}, MOD(INT((A3 - DATE(2025,5,5))/3), 3) + 1), INDEX({"休み","1直","2直"}, MOD(INT((A3 - DATE(2025,5,5))/3), 3) + 1))</f>
        <v>休み</v>
      </c>
      <c r="E3" s="4" t="s">
        <v>9</v>
      </c>
      <c r="F3" s="1" t="s">
        <v>34</v>
      </c>
      <c r="G3" s="39" t="s">
        <v>14</v>
      </c>
      <c r="H3" s="40">
        <f>[1]件数抽出!$C$5</f>
        <v>3</v>
      </c>
      <c r="I3" s="40">
        <f>[1]件数抽出!$D$5</f>
        <v>2</v>
      </c>
      <c r="J3" s="41">
        <f>IF(I3=0, "抽出無し", I3/H3)</f>
        <v>0.66666666666666663</v>
      </c>
    </row>
    <row r="4" spans="1:10" ht="15.75" thickBot="1">
      <c r="A4" s="7"/>
      <c r="B4" s="8" t="s">
        <v>2</v>
      </c>
      <c r="C4" s="6" t="str">
        <f ca="1">CHOOSE(MATCH(B4, {"1班","2班","3班"}, 0), INDEX({"1直","2直","休み"}, MOD(INT((A3 - DATE(2025,5,5))/3), 3) + 1), INDEX({"2直","休み","1直"}, MOD(INT((A3 - DATE(2025,5,5))/3), 3) + 1), INDEX({"休み","1直","2直"}, MOD(INT((A3 - DATE(2025,5,5))/3), 3) + 1))</f>
        <v>1直</v>
      </c>
      <c r="E4" s="4" t="s">
        <v>19</v>
      </c>
      <c r="F4" s="1" t="s">
        <v>36</v>
      </c>
      <c r="G4" s="39" t="s">
        <v>15</v>
      </c>
      <c r="H4" s="40">
        <f>[1]件数抽出!$C$6</f>
        <v>5</v>
      </c>
      <c r="I4" s="40">
        <f>[1]件数抽出!$D$6</f>
        <v>2</v>
      </c>
      <c r="J4" s="41">
        <f>IF(I4=0, "抽出無し", I4/H4)</f>
        <v>0.4</v>
      </c>
    </row>
    <row r="5" spans="1:10">
      <c r="A5" s="89" t="s">
        <v>4</v>
      </c>
      <c r="B5" s="90"/>
      <c r="C5" s="91"/>
      <c r="E5" s="4" t="s">
        <v>10</v>
      </c>
      <c r="F5" s="1" t="s">
        <v>34</v>
      </c>
      <c r="G5" s="39" t="s">
        <v>16</v>
      </c>
      <c r="H5" s="40">
        <f>[1]件数抽出!$C$7</f>
        <v>5</v>
      </c>
      <c r="I5" s="40">
        <f>[1]件数抽出!$D$7</f>
        <v>2</v>
      </c>
      <c r="J5" s="41">
        <f>IF(I5=0, "抽出無し", I5/H5)</f>
        <v>0.4</v>
      </c>
    </row>
    <row r="6" spans="1:10" ht="15.75" thickBot="1">
      <c r="A6" s="3" t="str">
        <f ca="1">YEAR(TODAY()) &amp; "'" &amp; MONTH(TODAY()) &amp; "月"</f>
        <v>2025'5月</v>
      </c>
      <c r="B6" s="8" t="str">
        <f ca="1">CHOOSE(MOD(DATEDIF(EOMONTH(TODAY(), -1) + 1, NOW(), "m"), 3) + 1, 2, 1, 3) &amp; "班"</f>
        <v>2班</v>
      </c>
      <c r="C6" s="9"/>
      <c r="E6" s="4" t="s">
        <v>11</v>
      </c>
      <c r="F6" s="1" t="s">
        <v>34</v>
      </c>
      <c r="G6" s="39" t="s">
        <v>17</v>
      </c>
      <c r="H6" s="40">
        <f>[1]件数抽出!$C$8</f>
        <v>2</v>
      </c>
      <c r="I6" s="40">
        <f>[1]件数抽出!$D$8</f>
        <v>1</v>
      </c>
      <c r="J6" s="41">
        <f>IF(I6=0, "抽出無し", I6/H6)</f>
        <v>0.5</v>
      </c>
    </row>
    <row r="7" spans="1:10">
      <c r="A7" s="89" t="s">
        <v>5</v>
      </c>
      <c r="B7" s="90"/>
      <c r="C7" s="10" t="s">
        <v>6</v>
      </c>
      <c r="F7"/>
      <c r="G7" s="42" t="s">
        <v>18</v>
      </c>
      <c r="H7" s="43">
        <f>[1]件数抽出!$C$9</f>
        <v>4</v>
      </c>
      <c r="I7" s="43">
        <f>[1]件数抽出!$D$9</f>
        <v>3</v>
      </c>
      <c r="J7" s="44">
        <f>IF(I7=0, "抽出無し", I7/H7)</f>
        <v>0.75</v>
      </c>
    </row>
    <row r="8" spans="1:10">
      <c r="A8" s="3">
        <f>MAIN!F3</f>
        <v>45803</v>
      </c>
      <c r="B8" s="11" t="str">
        <f>IF(MOD(INT((A8 - DATE(2025,5,14))/3), 3) = 0, "1班", IF(MOD(INT((A8 - DATE(2025,5,14))/3), 3) = 1, "3班", "2班"))</f>
        <v>3班</v>
      </c>
      <c r="C8" s="12" t="str">
        <f ca="1">IF(A8=TODAY(), "本日診断日", IF(A8 &gt; TODAY(), "あと" &amp; A8 - TODAY() &amp; "日", IF(TODAY() - A8 &lt;= 10, "完了!", "未登録")))</f>
        <v>あと9日</v>
      </c>
    </row>
    <row r="9" spans="1:10" ht="15.75" thickBot="1">
      <c r="A9" s="3">
        <f>MAIN!F4</f>
        <v>45798</v>
      </c>
      <c r="B9" s="13" t="str">
        <f>IF(MOD(INT((A9 - DATE(2025,5,14))/3), 3) = 0, "1班", IF(MOD(INT((A9 - DATE(2025,5,14))/3), 3) = 1, "3班", "2班"))</f>
        <v>2班</v>
      </c>
      <c r="C9" s="14" t="str">
        <f ca="1">IF(A9=TODAY(), "本日診断日", IF(A9 &gt; TODAY(), "あと" &amp; A9 - TODAY() &amp; "日", IF(TODAY() - A9 &lt;= 10, "完了!", "未登録")))</f>
        <v>あと4日</v>
      </c>
    </row>
    <row r="10" spans="1:10">
      <c r="A10" s="87" t="s">
        <v>12</v>
      </c>
      <c r="B10" s="87"/>
      <c r="C10" s="88"/>
    </row>
    <row r="11" spans="1:10">
      <c r="A11" s="21" t="s">
        <v>13</v>
      </c>
      <c r="B11" s="16">
        <v>30</v>
      </c>
      <c r="C11" s="17"/>
    </row>
    <row r="12" spans="1:10">
      <c r="A12" s="22">
        <v>1</v>
      </c>
      <c r="B12" s="18">
        <v>11</v>
      </c>
      <c r="C12" s="19">
        <f>B12/$B$11</f>
        <v>0.36666666666666664</v>
      </c>
    </row>
    <row r="13" spans="1:10">
      <c r="A13" s="22">
        <v>2</v>
      </c>
      <c r="B13" s="18">
        <v>1</v>
      </c>
      <c r="C13" s="19">
        <f>B13/$B$11</f>
        <v>3.3333333333333333E-2</v>
      </c>
    </row>
    <row r="14" spans="1:10">
      <c r="A14" s="23">
        <v>3</v>
      </c>
      <c r="B14" s="20">
        <v>5</v>
      </c>
      <c r="C14" s="24">
        <f>B14/$B$11</f>
        <v>0.16666666666666666</v>
      </c>
    </row>
    <row r="15" spans="1:10">
      <c r="A15" s="15"/>
      <c r="B15" s="15"/>
      <c r="C15" s="6"/>
    </row>
    <row r="16" spans="1:10">
      <c r="A16" s="15"/>
      <c r="B16" s="15"/>
      <c r="C16" s="6"/>
    </row>
    <row r="17" spans="1:3">
      <c r="A17" s="15"/>
      <c r="B17" s="15"/>
      <c r="C17" s="6"/>
    </row>
    <row r="18" spans="1:3">
      <c r="A18" s="15"/>
      <c r="B18" s="15"/>
      <c r="C18" s="6"/>
    </row>
  </sheetData>
  <mergeCells count="6">
    <mergeCell ref="A10:C10"/>
    <mergeCell ref="A5:C5"/>
    <mergeCell ref="A1:C1"/>
    <mergeCell ref="A7:B7"/>
    <mergeCell ref="G1:J1"/>
    <mergeCell ref="G2:J2"/>
  </mergeCells>
  <phoneticPr fontId="1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2015-06-05T18:19:34Z</dcterms:created>
  <dcterms:modified xsi:type="dcterms:W3CDTF">2025-05-16T10:36:11Z</dcterms:modified>
</cp:coreProperties>
</file>